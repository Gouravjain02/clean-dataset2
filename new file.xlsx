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133" documentId="8_{B62BCDB6-0547-4A71-B154-673FA0ADFD80}" xr6:coauthVersionLast="47" xr6:coauthVersionMax="47" xr10:uidLastSave="{A8041EC1-B837-43FD-8CCA-284F51E22060}"/>
  <bookViews>
    <workbookView xWindow="240" yWindow="105" windowWidth="14805" windowHeight="8010" xr2:uid="{00000000-000D-0000-FFFF-FFFF00000000}"/>
  </bookViews>
  <sheets>
    <sheet name="Day 1 Part 1" sheetId="1" r:id="rId1"/>
    <sheet name="Day Part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I2" i="1" a="1"/>
  <c r="I2" i="1"/>
  <c r="G2" i="1" a="1"/>
  <c r="G2" i="1"/>
  <c r="X3" i="1"/>
  <c r="X4" i="1"/>
  <c r="X5" i="1"/>
  <c r="X6" i="1"/>
  <c r="X7" i="1"/>
  <c r="X8" i="1"/>
  <c r="X9" i="1"/>
  <c r="X10" i="1"/>
  <c r="X11" i="1"/>
  <c r="X2" i="1"/>
  <c r="U15" i="1"/>
  <c r="W3" i="1"/>
  <c r="W4" i="1"/>
  <c r="W5" i="1"/>
  <c r="W6" i="1"/>
  <c r="W7" i="1"/>
  <c r="W8" i="1"/>
  <c r="W9" i="1"/>
  <c r="W10" i="1"/>
  <c r="W11" i="1"/>
  <c r="W2" i="1"/>
  <c r="V2" i="1"/>
  <c r="V3" i="1"/>
  <c r="V4" i="1"/>
  <c r="V5" i="1"/>
  <c r="V6" i="1"/>
  <c r="V7" i="1"/>
  <c r="V8" i="1"/>
  <c r="V9" i="1"/>
  <c r="V10" i="1"/>
  <c r="V11" i="1"/>
  <c r="V1" i="1"/>
  <c r="F1" i="1" a="1"/>
  <c r="F1" i="1"/>
  <c r="U3" i="1"/>
  <c r="U4" i="1"/>
  <c r="U5" i="1"/>
  <c r="U6" i="1"/>
  <c r="U7" i="1"/>
  <c r="U8" i="1"/>
  <c r="U9" i="1"/>
  <c r="U10" i="1"/>
  <c r="U11" i="1"/>
  <c r="U2" i="1"/>
  <c r="T3" i="1"/>
  <c r="T4" i="1"/>
  <c r="T5" i="1"/>
  <c r="T6" i="1"/>
  <c r="T7" i="1"/>
  <c r="T8" i="1"/>
  <c r="T9" i="1"/>
  <c r="T10" i="1"/>
  <c r="T11" i="1"/>
  <c r="T2" i="1"/>
  <c r="S3" i="1"/>
  <c r="S4" i="1"/>
  <c r="S5" i="1"/>
  <c r="S6" i="1"/>
  <c r="S7" i="1"/>
  <c r="S8" i="1"/>
  <c r="S9" i="1"/>
  <c r="S10" i="1"/>
  <c r="S11" i="1"/>
  <c r="S2" i="1"/>
  <c r="R3" i="1"/>
  <c r="R4" i="1"/>
  <c r="R5" i="1"/>
  <c r="R6" i="1"/>
  <c r="R7" i="1"/>
  <c r="R8" i="1"/>
  <c r="R9" i="1"/>
  <c r="R10" i="1"/>
  <c r="R11" i="1"/>
  <c r="R2" i="1"/>
  <c r="Q2" i="1"/>
  <c r="Q3" i="1"/>
  <c r="Q4" i="1"/>
  <c r="Q5" i="1"/>
  <c r="Q6" i="1"/>
  <c r="Q7" i="1"/>
  <c r="Q8" i="1"/>
  <c r="Q9" i="1"/>
  <c r="Q10" i="1"/>
  <c r="Q11" i="1"/>
  <c r="P3" i="1"/>
  <c r="P4" i="1"/>
  <c r="P5" i="1"/>
  <c r="P6" i="1"/>
  <c r="P7" i="1"/>
  <c r="P8" i="1"/>
  <c r="P9" i="1"/>
  <c r="P10" i="1"/>
  <c r="P11" i="1"/>
  <c r="P2" i="1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2" i="1"/>
  <c r="L3" i="1"/>
  <c r="L4" i="1"/>
  <c r="L5" i="1"/>
  <c r="L6" i="1"/>
  <c r="L7" i="1"/>
  <c r="L8" i="1"/>
  <c r="L9" i="1"/>
  <c r="L10" i="1"/>
  <c r="L11" i="1"/>
  <c r="L2" i="1"/>
  <c r="K2" i="1" a="1"/>
  <c r="K2" i="1"/>
  <c r="J2" i="1" a="1"/>
  <c r="J2" i="1"/>
  <c r="H2" i="1" a="1"/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<sst xmlns="http://schemas.openxmlformats.org/spreadsheetml/2006/main" count="96" uniqueCount="57">
  <si>
    <t>Employee ID</t>
  </si>
  <si>
    <t>Name</t>
  </si>
  <si>
    <t>Department</t>
  </si>
  <si>
    <t>Salary</t>
  </si>
  <si>
    <t>Years of Experience</t>
  </si>
  <si>
    <t>sqrt</t>
  </si>
  <si>
    <t>power</t>
  </si>
  <si>
    <t>power sqrt</t>
  </si>
  <si>
    <t>MID</t>
  </si>
  <si>
    <t>sqrt mid</t>
  </si>
  <si>
    <t>concat</t>
  </si>
  <si>
    <t>email</t>
  </si>
  <si>
    <t>trim</t>
  </si>
  <si>
    <t>substitute</t>
  </si>
  <si>
    <t>s2</t>
  </si>
  <si>
    <t>len</t>
  </si>
  <si>
    <t>left</t>
  </si>
  <si>
    <t>right</t>
  </si>
  <si>
    <t>proper</t>
  </si>
  <si>
    <t>if</t>
  </si>
  <si>
    <t>Target Achieved</t>
  </si>
  <si>
    <t>Alice</t>
  </si>
  <si>
    <t xml:space="preserve">   HR</t>
  </si>
  <si>
    <t>Yes</t>
  </si>
  <si>
    <t>Bob</t>
  </si>
  <si>
    <t xml:space="preserve">          IT</t>
  </si>
  <si>
    <t>No</t>
  </si>
  <si>
    <t>Charlie</t>
  </si>
  <si>
    <t xml:space="preserve">Finance  </t>
  </si>
  <si>
    <t>David</t>
  </si>
  <si>
    <t xml:space="preserve">     IT</t>
  </si>
  <si>
    <t>Eva</t>
  </si>
  <si>
    <t>HR</t>
  </si>
  <si>
    <t>Frank</t>
  </si>
  <si>
    <t xml:space="preserve">Finance    </t>
  </si>
  <si>
    <t>Grace</t>
  </si>
  <si>
    <t xml:space="preserve">        IT</t>
  </si>
  <si>
    <t>Hannah</t>
  </si>
  <si>
    <t xml:space="preserve">    HR</t>
  </si>
  <si>
    <t>Ivan</t>
  </si>
  <si>
    <t>Jack</t>
  </si>
  <si>
    <t>I    T</t>
  </si>
  <si>
    <t>First Name</t>
  </si>
  <si>
    <t>Last Name</t>
  </si>
  <si>
    <t>Sales</t>
  </si>
  <si>
    <t>Smith</t>
  </si>
  <si>
    <t>Johnson</t>
  </si>
  <si>
    <t>IT</t>
  </si>
  <si>
    <t>Brown</t>
  </si>
  <si>
    <t>Finance</t>
  </si>
  <si>
    <t>White</t>
  </si>
  <si>
    <t>Clark</t>
  </si>
  <si>
    <t>Taylor</t>
  </si>
  <si>
    <t>Evans</t>
  </si>
  <si>
    <t>Martin</t>
  </si>
  <si>
    <t>Lee</t>
  </si>
  <si>
    <t>Walker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</si>
</sst>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0" borderId="0" xfId="0" applyFont="1" applyFill="1" applyBorder="1" applyAlignment="1"/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"/>
  <sheetViews>
    <sheetView tabSelected="1" topLeftCell="D1" workbookViewId="0">
      <selection activeCell="N2" sqref="N2"/>
    </sheetView>
  </sheetViews>
  <sheetFormatPr defaultRowHeight="15"/>
  <cols>
    <col min="1" max="1" width="12" bestFit="1" customWidth="1"/>
    <col min="3" max="3" width="11.7109375" bestFit="1" customWidth="1"/>
    <col min="5" max="5" width="8.28515625" customWidth="1"/>
    <col min="9" max="9" width="16.7109375" bestFit="1" customWidth="1"/>
    <col min="11" max="11" width="12.7109375" bestFit="1" customWidth="1"/>
    <col min="12" max="12" width="14" customWidth="1"/>
    <col min="15" max="15" width="13" customWidth="1"/>
    <col min="17" max="17" width="9.5703125" bestFit="1" customWidth="1"/>
    <col min="18" max="18" width="10.5703125" customWidth="1"/>
    <col min="21" max="21" width="24.7109375" bestFit="1" customWidth="1"/>
  </cols>
  <sheetData>
    <row r="1" spans="1:25" ht="45.75">
      <c r="A1" s="3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t="str" cm="1">
        <f t="array" ref="F1:F11">UPPER(B1:B11)</f>
        <v>NAME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P1" s="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tr">
        <f>LOWER(B2)</f>
        <v>alice</v>
      </c>
      <c r="W1" t="s">
        <v>18</v>
      </c>
      <c r="X1" t="s">
        <v>19</v>
      </c>
      <c r="Y1" s="1" t="s">
        <v>20</v>
      </c>
    </row>
    <row r="2" spans="1:25">
      <c r="A2" s="5">
        <v>101</v>
      </c>
      <c r="B2" s="5" t="s">
        <v>21</v>
      </c>
      <c r="C2" s="5" t="s">
        <v>22</v>
      </c>
      <c r="D2" s="5">
        <v>50000</v>
      </c>
      <c r="E2" s="5">
        <v>5</v>
      </c>
      <c r="F2" t="str">
        <v>ALICE</v>
      </c>
      <c r="G2" cm="1">
        <f t="array" ref="G2:G11">SQRT(D2:D11)</f>
        <v>223.60679774997897</v>
      </c>
      <c r="H2" cm="1">
        <f t="array" ref="H2:H11">POWER(_xlfn.ANCHORARRAY(G2),2)</f>
        <v>50000</v>
      </c>
      <c r="I2" cm="1">
        <f t="array" ref="I2:I11">SQRT(_xlfn.ANCHORARRAY(H2))</f>
        <v>223.60679774997897</v>
      </c>
      <c r="J2" t="str" cm="1">
        <f t="array" ref="J2:J11">MID(B2:B11,1,3)</f>
        <v>Ali</v>
      </c>
      <c r="K2" t="str" cm="1">
        <f t="array" ref="K2:K11">MID(_xlfn.ANCHORARRAY(G2),4,4)</f>
        <v>.606</v>
      </c>
      <c r="L2" t="str">
        <f>_xlfn.CONCAT(B2,C2)</f>
        <v>Alice   HR</v>
      </c>
      <c r="M2" t="str">
        <f>_xlfn.CONCAT(B2,C2,"gmail.com")</f>
        <v>Alice   HRgmail.com</v>
      </c>
      <c r="N2" t="str">
        <f>_xlfn.CONCAT(C2,D2,"gmail.com")</f>
        <v xml:space="preserve">   HR50000gmail.com</v>
      </c>
      <c r="P2" s="2" t="str">
        <f>TRIM(C2)</f>
        <v>HR</v>
      </c>
      <c r="Q2" t="str">
        <f>SUBSTITUTE(C2," ","@")</f>
        <v>@@@HR</v>
      </c>
      <c r="R2" t="str">
        <f>SUBSTITUTE(B2,"i","I")</f>
        <v>AlIce</v>
      </c>
      <c r="S2">
        <f>LEN(B2)</f>
        <v>5</v>
      </c>
      <c r="T2" t="str">
        <f>LEFT(B2,3)</f>
        <v>Ali</v>
      </c>
      <c r="U2" t="str">
        <f>RIGHT(B2,4)</f>
        <v>lice</v>
      </c>
      <c r="V2" t="str">
        <f t="shared" ref="V2:V10" si="0">LOWER(B3)</f>
        <v>bob</v>
      </c>
      <c r="W2" t="str">
        <f>PROPER(V1)</f>
        <v>Alice</v>
      </c>
      <c r="X2">
        <f>IF(Y2="yes",1,0)</f>
        <v>1</v>
      </c>
      <c r="Y2" s="2" t="s">
        <v>23</v>
      </c>
    </row>
    <row r="3" spans="1:25">
      <c r="A3" s="5">
        <v>102</v>
      </c>
      <c r="B3" s="5" t="s">
        <v>24</v>
      </c>
      <c r="C3" s="5" t="s">
        <v>25</v>
      </c>
      <c r="D3" s="5">
        <v>60000</v>
      </c>
      <c r="E3" s="5">
        <v>3</v>
      </c>
      <c r="F3" t="str">
        <v>BOB</v>
      </c>
      <c r="G3">
        <v>244.94897427831782</v>
      </c>
      <c r="H3">
        <v>60000.000000000007</v>
      </c>
      <c r="I3">
        <v>244.94897427831782</v>
      </c>
      <c r="J3" t="str">
        <v>Bob</v>
      </c>
      <c r="K3" t="str">
        <v>.948</v>
      </c>
      <c r="L3" t="str">
        <f t="shared" ref="L3:L11" si="1">_xlfn.CONCAT(B3,C3)</f>
        <v>Bob          IT</v>
      </c>
      <c r="M3" t="str">
        <f t="shared" ref="M3:M11" si="2">_xlfn.CONCAT(B3,C3,"gmail.com")</f>
        <v>Bob          ITgmail.com</v>
      </c>
      <c r="N3" t="str">
        <f t="shared" ref="N3:N11" si="3">_xlfn.CONCAT(C3,D3,"gmail.com")</f>
        <v xml:space="preserve">          IT60000gmail.com</v>
      </c>
      <c r="P3" s="2" t="str">
        <f t="shared" ref="P3:P11" si="4">TRIM(C3)</f>
        <v>IT</v>
      </c>
      <c r="Q3" t="str">
        <f t="shared" ref="Q3:Q11" si="5">SUBSTITUTE(C3," ","@")</f>
        <v>@@@@@@@@@@IT</v>
      </c>
      <c r="R3" t="str">
        <f t="shared" ref="R3:R11" si="6">SUBSTITUTE(B3,"i","I")</f>
        <v>Bob</v>
      </c>
      <c r="S3">
        <f t="shared" ref="S3:S11" si="7">LEN(B3)</f>
        <v>3</v>
      </c>
      <c r="T3" t="str">
        <f t="shared" ref="T3:T11" si="8">LEFT(B3,3)</f>
        <v>Bob</v>
      </c>
      <c r="U3" t="str">
        <f t="shared" ref="U3:U11" si="9">RIGHT(B3,4)</f>
        <v>Bob</v>
      </c>
      <c r="V3" t="str">
        <f t="shared" si="0"/>
        <v>charlie</v>
      </c>
      <c r="W3" t="str">
        <f t="shared" ref="W3:W11" si="10">PROPER(V2)</f>
        <v>Bob</v>
      </c>
      <c r="X3">
        <f t="shared" ref="X3:X11" si="11">IF(Y3="yes",1,0)</f>
        <v>0</v>
      </c>
      <c r="Y3" s="2" t="s">
        <v>26</v>
      </c>
    </row>
    <row r="4" spans="1:25">
      <c r="A4" s="5">
        <v>103</v>
      </c>
      <c r="B4" s="5" t="s">
        <v>27</v>
      </c>
      <c r="C4" s="5" t="s">
        <v>28</v>
      </c>
      <c r="D4" s="5">
        <v>55000</v>
      </c>
      <c r="E4" s="5">
        <v>4</v>
      </c>
      <c r="F4" t="str">
        <v>CHARLIE</v>
      </c>
      <c r="G4">
        <v>234.52078799117149</v>
      </c>
      <c r="H4">
        <v>55000.000000000007</v>
      </c>
      <c r="I4">
        <v>234.52078799117149</v>
      </c>
      <c r="J4" t="str">
        <v>Cha</v>
      </c>
      <c r="K4" t="str">
        <v>.520</v>
      </c>
      <c r="L4" t="str">
        <f t="shared" si="1"/>
        <v xml:space="preserve">CharlieFinance  </v>
      </c>
      <c r="M4" t="str">
        <f t="shared" si="2"/>
        <v>CharlieFinance  gmail.com</v>
      </c>
      <c r="N4" t="str">
        <f t="shared" si="3"/>
        <v>Finance  55000gmail.com</v>
      </c>
      <c r="P4" s="2" t="str">
        <f t="shared" si="4"/>
        <v>Finance</v>
      </c>
      <c r="Q4" t="str">
        <f t="shared" si="5"/>
        <v>Finance@@</v>
      </c>
      <c r="R4" t="str">
        <f t="shared" si="6"/>
        <v>CharlIe</v>
      </c>
      <c r="S4">
        <f t="shared" si="7"/>
        <v>7</v>
      </c>
      <c r="T4" t="str">
        <f t="shared" si="8"/>
        <v>Cha</v>
      </c>
      <c r="U4" t="str">
        <f t="shared" si="9"/>
        <v>rlie</v>
      </c>
      <c r="V4" t="str">
        <f t="shared" si="0"/>
        <v>david</v>
      </c>
      <c r="W4" t="str">
        <f t="shared" si="10"/>
        <v>Charlie</v>
      </c>
      <c r="X4">
        <f t="shared" si="11"/>
        <v>1</v>
      </c>
      <c r="Y4" s="2" t="s">
        <v>23</v>
      </c>
    </row>
    <row r="5" spans="1:25">
      <c r="A5" s="5">
        <v>104</v>
      </c>
      <c r="B5" s="5" t="s">
        <v>29</v>
      </c>
      <c r="C5" s="5" t="s">
        <v>30</v>
      </c>
      <c r="D5" s="5">
        <v>70000</v>
      </c>
      <c r="E5" s="5">
        <v>6</v>
      </c>
      <c r="F5" t="str">
        <v>DAVID</v>
      </c>
      <c r="G5">
        <v>264.57513110645908</v>
      </c>
      <c r="H5">
        <v>70000.000000000015</v>
      </c>
      <c r="I5">
        <v>264.57513110645908</v>
      </c>
      <c r="J5" t="str">
        <v>Dav</v>
      </c>
      <c r="K5" t="str">
        <v>.575</v>
      </c>
      <c r="L5" t="str">
        <f t="shared" si="1"/>
        <v>David     IT</v>
      </c>
      <c r="M5" t="str">
        <f t="shared" si="2"/>
        <v>David     ITgmail.com</v>
      </c>
      <c r="N5" t="str">
        <f t="shared" si="3"/>
        <v xml:space="preserve">     IT70000gmail.com</v>
      </c>
      <c r="P5" s="2" t="str">
        <f t="shared" si="4"/>
        <v>IT</v>
      </c>
      <c r="Q5" t="str">
        <f t="shared" si="5"/>
        <v>@@@@@IT</v>
      </c>
      <c r="R5" t="str">
        <f t="shared" si="6"/>
        <v>DavId</v>
      </c>
      <c r="S5">
        <f t="shared" si="7"/>
        <v>5</v>
      </c>
      <c r="T5" t="str">
        <f t="shared" si="8"/>
        <v>Dav</v>
      </c>
      <c r="U5" t="str">
        <f t="shared" si="9"/>
        <v>avid</v>
      </c>
      <c r="V5" t="str">
        <f t="shared" si="0"/>
        <v>eva</v>
      </c>
      <c r="W5" t="str">
        <f t="shared" si="10"/>
        <v>David</v>
      </c>
      <c r="X5">
        <f t="shared" si="11"/>
        <v>1</v>
      </c>
      <c r="Y5" s="2" t="s">
        <v>23</v>
      </c>
    </row>
    <row r="6" spans="1:25">
      <c r="A6" s="5">
        <v>105</v>
      </c>
      <c r="B6" s="5" t="s">
        <v>31</v>
      </c>
      <c r="C6" s="5" t="s">
        <v>32</v>
      </c>
      <c r="D6" s="5">
        <v>52000</v>
      </c>
      <c r="E6" s="5">
        <v>2</v>
      </c>
      <c r="F6" t="str">
        <v>EVA</v>
      </c>
      <c r="G6">
        <v>228.03508501982759</v>
      </c>
      <c r="H6">
        <v>52000</v>
      </c>
      <c r="I6">
        <v>228.03508501982759</v>
      </c>
      <c r="J6" t="str">
        <v>Eva</v>
      </c>
      <c r="K6" t="str">
        <v>.035</v>
      </c>
      <c r="L6" t="str">
        <f t="shared" si="1"/>
        <v>EvaHR</v>
      </c>
      <c r="M6" t="str">
        <f t="shared" si="2"/>
        <v>EvaHRgmail.com</v>
      </c>
      <c r="N6" t="str">
        <f t="shared" si="3"/>
        <v>HR52000gmail.com</v>
      </c>
      <c r="P6" s="2" t="str">
        <f t="shared" si="4"/>
        <v>HR</v>
      </c>
      <c r="Q6" t="str">
        <f t="shared" si="5"/>
        <v>HR</v>
      </c>
      <c r="R6" t="str">
        <f t="shared" si="6"/>
        <v>Eva</v>
      </c>
      <c r="S6">
        <f t="shared" si="7"/>
        <v>3</v>
      </c>
      <c r="T6" t="str">
        <f t="shared" si="8"/>
        <v>Eva</v>
      </c>
      <c r="U6" t="str">
        <f t="shared" si="9"/>
        <v>Eva</v>
      </c>
      <c r="V6" t="str">
        <f t="shared" si="0"/>
        <v>frank</v>
      </c>
      <c r="W6" t="str">
        <f t="shared" si="10"/>
        <v>Eva</v>
      </c>
      <c r="X6">
        <f t="shared" si="11"/>
        <v>0</v>
      </c>
      <c r="Y6" s="2" t="s">
        <v>26</v>
      </c>
    </row>
    <row r="7" spans="1:25">
      <c r="A7" s="5">
        <v>106</v>
      </c>
      <c r="B7" s="5" t="s">
        <v>33</v>
      </c>
      <c r="C7" s="5" t="s">
        <v>34</v>
      </c>
      <c r="D7" s="5">
        <v>58000</v>
      </c>
      <c r="E7" s="5">
        <v>5</v>
      </c>
      <c r="F7" t="str">
        <v>FRANK</v>
      </c>
      <c r="G7">
        <v>240.8318915758459</v>
      </c>
      <c r="H7">
        <v>57999.999999999993</v>
      </c>
      <c r="I7">
        <v>240.8318915758459</v>
      </c>
      <c r="J7" t="str">
        <v>Fra</v>
      </c>
      <c r="K7" t="str">
        <v>.831</v>
      </c>
      <c r="L7" t="str">
        <f t="shared" si="1"/>
        <v xml:space="preserve">FrankFinance    </v>
      </c>
      <c r="M7" t="str">
        <f t="shared" si="2"/>
        <v>FrankFinance    gmail.com</v>
      </c>
      <c r="N7" t="str">
        <f t="shared" si="3"/>
        <v>Finance    58000gmail.com</v>
      </c>
      <c r="P7" s="2" t="str">
        <f t="shared" si="4"/>
        <v>Finance</v>
      </c>
      <c r="Q7" t="str">
        <f t="shared" si="5"/>
        <v>Finance@@@@</v>
      </c>
      <c r="R7" t="str">
        <f t="shared" si="6"/>
        <v>Frank</v>
      </c>
      <c r="S7">
        <f t="shared" si="7"/>
        <v>5</v>
      </c>
      <c r="T7" t="str">
        <f t="shared" si="8"/>
        <v>Fra</v>
      </c>
      <c r="U7" t="str">
        <f t="shared" si="9"/>
        <v>rank</v>
      </c>
      <c r="V7" t="str">
        <f t="shared" si="0"/>
        <v>grace</v>
      </c>
      <c r="W7" t="str">
        <f t="shared" si="10"/>
        <v>Frank</v>
      </c>
      <c r="X7">
        <f t="shared" si="11"/>
        <v>1</v>
      </c>
      <c r="Y7" s="2" t="s">
        <v>23</v>
      </c>
    </row>
    <row r="8" spans="1:25">
      <c r="A8" s="5">
        <v>107</v>
      </c>
      <c r="B8" s="5" t="s">
        <v>35</v>
      </c>
      <c r="C8" s="5" t="s">
        <v>36</v>
      </c>
      <c r="D8" s="5">
        <v>62000</v>
      </c>
      <c r="E8" s="5">
        <v>4</v>
      </c>
      <c r="F8" t="str">
        <v>GRACE</v>
      </c>
      <c r="G8">
        <v>248.99799195977465</v>
      </c>
      <c r="H8">
        <v>62000</v>
      </c>
      <c r="I8">
        <v>248.99799195977465</v>
      </c>
      <c r="J8" t="str">
        <v>Gra</v>
      </c>
      <c r="K8" t="str">
        <v>.997</v>
      </c>
      <c r="L8" t="str">
        <f t="shared" si="1"/>
        <v>Grace        IT</v>
      </c>
      <c r="M8" t="str">
        <f t="shared" si="2"/>
        <v>Grace        ITgmail.com</v>
      </c>
      <c r="N8" t="str">
        <f t="shared" si="3"/>
        <v xml:space="preserve">        IT62000gmail.com</v>
      </c>
      <c r="P8" s="2" t="str">
        <f t="shared" si="4"/>
        <v>IT</v>
      </c>
      <c r="Q8" t="str">
        <f t="shared" si="5"/>
        <v>@@@@@@@@IT</v>
      </c>
      <c r="R8" t="str">
        <f t="shared" si="6"/>
        <v>Grace</v>
      </c>
      <c r="S8">
        <f t="shared" si="7"/>
        <v>5</v>
      </c>
      <c r="T8" t="str">
        <f t="shared" si="8"/>
        <v>Gra</v>
      </c>
      <c r="U8" t="str">
        <f t="shared" si="9"/>
        <v>race</v>
      </c>
      <c r="V8" t="str">
        <f t="shared" si="0"/>
        <v>hannah</v>
      </c>
      <c r="W8" t="str">
        <f t="shared" si="10"/>
        <v>Grace</v>
      </c>
      <c r="X8">
        <f t="shared" si="11"/>
        <v>1</v>
      </c>
      <c r="Y8" s="2" t="s">
        <v>23</v>
      </c>
    </row>
    <row r="9" spans="1:25">
      <c r="A9" s="5">
        <v>108</v>
      </c>
      <c r="B9" s="5" t="s">
        <v>37</v>
      </c>
      <c r="C9" s="5" t="s">
        <v>38</v>
      </c>
      <c r="D9" s="5">
        <v>53000</v>
      </c>
      <c r="E9" s="5">
        <v>3</v>
      </c>
      <c r="F9" t="str">
        <v>HANNAH</v>
      </c>
      <c r="G9">
        <v>230.21728866442677</v>
      </c>
      <c r="H9">
        <v>53000.000000000007</v>
      </c>
      <c r="I9">
        <v>230.21728866442677</v>
      </c>
      <c r="J9" t="str">
        <v>Han</v>
      </c>
      <c r="K9" t="str">
        <v>.217</v>
      </c>
      <c r="L9" t="str">
        <f t="shared" si="1"/>
        <v>Hannah    HR</v>
      </c>
      <c r="M9" t="str">
        <f t="shared" si="2"/>
        <v>Hannah    HRgmail.com</v>
      </c>
      <c r="N9" t="str">
        <f t="shared" si="3"/>
        <v xml:space="preserve">    HR53000gmail.com</v>
      </c>
      <c r="P9" s="2" t="str">
        <f t="shared" si="4"/>
        <v>HR</v>
      </c>
      <c r="Q9" t="str">
        <f t="shared" si="5"/>
        <v>@@@@HR</v>
      </c>
      <c r="R9" t="str">
        <f t="shared" si="6"/>
        <v>Hannah</v>
      </c>
      <c r="S9">
        <f t="shared" si="7"/>
        <v>6</v>
      </c>
      <c r="T9" t="str">
        <f t="shared" si="8"/>
        <v>Han</v>
      </c>
      <c r="U9" t="str">
        <f t="shared" si="9"/>
        <v>nnah</v>
      </c>
      <c r="V9" t="str">
        <f t="shared" si="0"/>
        <v>ivan</v>
      </c>
      <c r="W9" t="str">
        <f t="shared" si="10"/>
        <v>Hannah</v>
      </c>
      <c r="X9">
        <f t="shared" si="11"/>
        <v>0</v>
      </c>
      <c r="Y9" s="2" t="s">
        <v>26</v>
      </c>
    </row>
    <row r="10" spans="1:25">
      <c r="A10" s="5">
        <v>109</v>
      </c>
      <c r="B10" s="5" t="s">
        <v>39</v>
      </c>
      <c r="C10" s="5" t="s">
        <v>34</v>
      </c>
      <c r="D10" s="5">
        <v>59000</v>
      </c>
      <c r="E10" s="5">
        <v>7</v>
      </c>
      <c r="F10" t="str">
        <v>IVAN</v>
      </c>
      <c r="G10">
        <v>242.89915602982239</v>
      </c>
      <c r="H10">
        <v>59000.000000000007</v>
      </c>
      <c r="I10">
        <v>242.89915602982239</v>
      </c>
      <c r="J10" t="str">
        <v>Iva</v>
      </c>
      <c r="K10" t="str">
        <v>.899</v>
      </c>
      <c r="L10" t="str">
        <f t="shared" si="1"/>
        <v xml:space="preserve">IvanFinance    </v>
      </c>
      <c r="M10" t="str">
        <f t="shared" si="2"/>
        <v>IvanFinance    gmail.com</v>
      </c>
      <c r="N10" t="str">
        <f t="shared" si="3"/>
        <v>Finance    59000gmail.com</v>
      </c>
      <c r="P10" s="2" t="str">
        <f t="shared" si="4"/>
        <v>Finance</v>
      </c>
      <c r="Q10" t="str">
        <f t="shared" si="5"/>
        <v>Finance@@@@</v>
      </c>
      <c r="R10" t="str">
        <f t="shared" si="6"/>
        <v>Ivan</v>
      </c>
      <c r="S10">
        <f t="shared" si="7"/>
        <v>4</v>
      </c>
      <c r="T10" t="str">
        <f t="shared" si="8"/>
        <v>Iva</v>
      </c>
      <c r="U10" t="str">
        <f t="shared" si="9"/>
        <v>Ivan</v>
      </c>
      <c r="V10" t="str">
        <f t="shared" si="0"/>
        <v>jack</v>
      </c>
      <c r="W10" t="str">
        <f t="shared" si="10"/>
        <v>Ivan</v>
      </c>
      <c r="X10">
        <f t="shared" si="11"/>
        <v>1</v>
      </c>
      <c r="Y10" s="2" t="s">
        <v>23</v>
      </c>
    </row>
    <row r="11" spans="1:25">
      <c r="A11" s="5">
        <v>110</v>
      </c>
      <c r="B11" s="5" t="s">
        <v>40</v>
      </c>
      <c r="C11" s="5" t="s">
        <v>41</v>
      </c>
      <c r="D11" s="5">
        <v>65000</v>
      </c>
      <c r="E11" s="5">
        <v>4</v>
      </c>
      <c r="F11" t="str">
        <v>JACK</v>
      </c>
      <c r="G11">
        <v>254.95097567963924</v>
      </c>
      <c r="H11">
        <v>65000</v>
      </c>
      <c r="I11">
        <v>254.95097567963924</v>
      </c>
      <c r="J11" t="str">
        <v>Jac</v>
      </c>
      <c r="K11" t="str">
        <v>.950</v>
      </c>
      <c r="L11" t="str">
        <f t="shared" si="1"/>
        <v>JackI    T</v>
      </c>
      <c r="M11" t="str">
        <f t="shared" si="2"/>
        <v>JackI    Tgmail.com</v>
      </c>
      <c r="N11" t="str">
        <f t="shared" si="3"/>
        <v>I    T65000gmail.com</v>
      </c>
      <c r="P11" s="2" t="str">
        <f t="shared" si="4"/>
        <v>I T</v>
      </c>
      <c r="Q11" t="str">
        <f t="shared" si="5"/>
        <v>I@@@@T</v>
      </c>
      <c r="R11" t="str">
        <f t="shared" si="6"/>
        <v>Jack</v>
      </c>
      <c r="S11">
        <f t="shared" si="7"/>
        <v>4</v>
      </c>
      <c r="T11" t="str">
        <f t="shared" si="8"/>
        <v>Jac</v>
      </c>
      <c r="U11" t="str">
        <f t="shared" si="9"/>
        <v>Jack</v>
      </c>
      <c r="V11" t="str">
        <f t="shared" ref="V2:V11" si="12">LOWER(B12)</f>
        <v/>
      </c>
      <c r="W11" t="str">
        <f t="shared" si="10"/>
        <v>Jack</v>
      </c>
      <c r="X11">
        <f t="shared" si="11"/>
        <v>0</v>
      </c>
      <c r="Y11" s="2" t="s">
        <v>26</v>
      </c>
    </row>
    <row r="15" spans="1:25">
      <c r="U15">
        <f>COUNTIF(G2:G11,"&gt;240")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6DB3-4EFA-4A2B-BDA2-DC969166EEDF}">
  <dimension ref="A1:E11"/>
  <sheetViews>
    <sheetView workbookViewId="0">
      <selection activeCell="C2" sqref="C2"/>
    </sheetView>
  </sheetViews>
  <sheetFormatPr defaultRowHeight="15"/>
  <cols>
    <col min="1" max="1" width="10.5703125" bestFit="1" customWidth="1"/>
    <col min="2" max="2" width="10.140625" bestFit="1" customWidth="1"/>
    <col min="3" max="3" width="11.7109375" bestFit="1" customWidth="1"/>
    <col min="5" max="5" width="15.28515625" bestFit="1" customWidth="1"/>
  </cols>
  <sheetData>
    <row r="1" spans="1:5">
      <c r="A1" s="1" t="s">
        <v>42</v>
      </c>
      <c r="B1" s="1" t="s">
        <v>43</v>
      </c>
      <c r="C1" s="1" t="s">
        <v>2</v>
      </c>
      <c r="D1" s="1" t="s">
        <v>44</v>
      </c>
      <c r="E1" s="1" t="s">
        <v>20</v>
      </c>
    </row>
    <row r="2" spans="1:5">
      <c r="A2" s="2" t="s">
        <v>21</v>
      </c>
      <c r="B2" s="2" t="s">
        <v>45</v>
      </c>
      <c r="C2" s="2" t="s">
        <v>32</v>
      </c>
      <c r="D2" s="2">
        <v>150</v>
      </c>
      <c r="E2" s="2" t="s">
        <v>23</v>
      </c>
    </row>
    <row r="3" spans="1:5">
      <c r="A3" s="2" t="s">
        <v>24</v>
      </c>
      <c r="B3" s="2" t="s">
        <v>46</v>
      </c>
      <c r="C3" s="2" t="s">
        <v>47</v>
      </c>
      <c r="D3" s="2">
        <v>200</v>
      </c>
      <c r="E3" s="2" t="s">
        <v>26</v>
      </c>
    </row>
    <row r="4" spans="1:5">
      <c r="A4" s="2" t="s">
        <v>27</v>
      </c>
      <c r="B4" s="2" t="s">
        <v>48</v>
      </c>
      <c r="C4" s="2" t="s">
        <v>49</v>
      </c>
      <c r="D4" s="2">
        <v>180</v>
      </c>
      <c r="E4" s="2" t="s">
        <v>23</v>
      </c>
    </row>
    <row r="5" spans="1:5">
      <c r="A5" s="2" t="s">
        <v>29</v>
      </c>
      <c r="B5" s="2" t="s">
        <v>50</v>
      </c>
      <c r="C5" s="2" t="s">
        <v>47</v>
      </c>
      <c r="D5" s="2">
        <v>220</v>
      </c>
      <c r="E5" s="2" t="s">
        <v>23</v>
      </c>
    </row>
    <row r="6" spans="1:5">
      <c r="A6" s="2" t="s">
        <v>31</v>
      </c>
      <c r="B6" s="2" t="s">
        <v>51</v>
      </c>
      <c r="C6" s="2" t="s">
        <v>32</v>
      </c>
      <c r="D6" s="2">
        <v>170</v>
      </c>
      <c r="E6" s="2" t="s">
        <v>26</v>
      </c>
    </row>
    <row r="7" spans="1:5">
      <c r="A7" s="2" t="s">
        <v>33</v>
      </c>
      <c r="B7" s="2" t="s">
        <v>52</v>
      </c>
      <c r="C7" s="2" t="s">
        <v>49</v>
      </c>
      <c r="D7" s="2">
        <v>210</v>
      </c>
      <c r="E7" s="2" t="s">
        <v>23</v>
      </c>
    </row>
    <row r="8" spans="1:5">
      <c r="A8" s="2" t="s">
        <v>35</v>
      </c>
      <c r="B8" s="2" t="s">
        <v>53</v>
      </c>
      <c r="C8" s="2" t="s">
        <v>47</v>
      </c>
      <c r="D8" s="2">
        <v>230</v>
      </c>
      <c r="E8" s="2" t="s">
        <v>23</v>
      </c>
    </row>
    <row r="9" spans="1:5">
      <c r="A9" s="2" t="s">
        <v>37</v>
      </c>
      <c r="B9" s="2" t="s">
        <v>54</v>
      </c>
      <c r="C9" s="2" t="s">
        <v>32</v>
      </c>
      <c r="D9" s="2">
        <v>160</v>
      </c>
      <c r="E9" s="2" t="s">
        <v>26</v>
      </c>
    </row>
    <row r="10" spans="1:5">
      <c r="A10" s="2" t="s">
        <v>39</v>
      </c>
      <c r="B10" s="2" t="s">
        <v>55</v>
      </c>
      <c r="C10" s="2" t="s">
        <v>49</v>
      </c>
      <c r="D10" s="2">
        <v>200</v>
      </c>
      <c r="E10" s="2" t="s">
        <v>23</v>
      </c>
    </row>
    <row r="11" spans="1:5">
      <c r="A11" s="2" t="s">
        <v>40</v>
      </c>
      <c r="B11" s="2" t="s">
        <v>56</v>
      </c>
      <c r="C11" s="2" t="s">
        <v>47</v>
      </c>
      <c r="D11" s="2">
        <v>190</v>
      </c>
      <c r="E1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Akhilesh Singh</cp:lastModifiedBy>
  <cp:revision/>
  <dcterms:created xsi:type="dcterms:W3CDTF">2026-01-04T03:18:43Z</dcterms:created>
  <dcterms:modified xsi:type="dcterms:W3CDTF">2026-02-12T15:23:25Z</dcterms:modified>
  <cp:category/>
  <cp:contentStatus/>
</cp:coreProperties>
</file>